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訂のポイント" sheetId="1" state="visible" r:id="rId1"/>
    <sheet name="評価基準の定義" sheetId="2" state="visible" r:id="rId2"/>
    <sheet name="評価シート（電算・編集）" sheetId="3" state="visible" r:id="rId3"/>
    <sheet name="評価シート（営業）" sheetId="4" state="visible" r:id="rId4"/>
    <sheet name="評価シート（工場）" sheetId="5" state="visible" r:id="rId5"/>
    <sheet name="日々の記録（月次ログ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1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b val="1"/>
      <color rgb="00000000"/>
      <sz val="12"/>
    </font>
    <font>
      <name val="游ゴシック"/>
      <b val="1"/>
      <color rgb="00000000"/>
      <sz val="9"/>
    </font>
    <font>
      <name val="游ゴシック"/>
      <color rgb="00000000"/>
      <sz val="9"/>
    </font>
    <font>
      <name val="游ゴシック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C6E0B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FDE7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1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64" customWidth="1" min="3" max="3"/>
  </cols>
  <sheetData>
    <row r="2" ht="28" customHeight="1">
      <c r="B2" s="1" t="inlineStr">
        <is>
          <t>評価シート改訂案 A【SABCD評価版】　― 改訂のポイント ―</t>
        </is>
      </c>
      <c r="C2" s="29" t="n"/>
    </row>
    <row r="4">
      <c r="B4" s="3" t="inlineStr">
        <is>
          <t>■ 現行シートの問題と、この案での対応</t>
        </is>
      </c>
      <c r="C4" s="29" t="n"/>
    </row>
    <row r="5">
      <c r="B5" s="4" t="inlineStr">
        <is>
          <t>現行の問題（現場の声）</t>
        </is>
      </c>
      <c r="C5" s="4" t="inlineStr">
        <is>
          <t>この案での対応</t>
        </is>
      </c>
    </row>
    <row r="6" ht="42" customHeight="1">
      <c r="B6" s="5" t="inlineStr">
        <is>
          <t>点数の付け方に根拠がなく、感情が入る</t>
        </is>
      </c>
      <c r="C6" s="5" t="inlineStr">
        <is>
          <t>全項目に「期待水準（A）の定義」と着眼点を明記。Aを含むすべての評価に「根拠となる事実」の記入を必須にした（書けない項目はB）</t>
        </is>
      </c>
    </row>
    <row r="7" ht="42" customHeight="1">
      <c r="B7" s="5" t="inlineStr">
        <is>
          <t>「なぜ満点じゃないのか」に会社が答えられない</t>
        </is>
      </c>
      <c r="C7" s="5" t="inlineStr">
        <is>
          <t>「A（期待どおり）＝標準の良い評価」「Sは期待超えの事実がある場合」と定義。満点かどうかではなく基準に対する事実で説明できる</t>
        </is>
      </c>
    </row>
    <row r="8" ht="42" customHeight="1">
      <c r="B8" s="5" t="inlineStr">
        <is>
          <t>自己コメントを書かない人が多い</t>
        </is>
      </c>
      <c r="C8" s="5" t="inlineStr">
        <is>
          <t>約30項目のコメント欄を廃止し、項目ごとの「事実ひとこと」＋月次ログからの転記に変更。書く量を大幅に削減</t>
        </is>
      </c>
    </row>
    <row r="9" ht="42" customHeight="1">
      <c r="B9" s="5" t="inlineStr">
        <is>
          <t>部署によって項目・点数の開きが大きい</t>
        </is>
      </c>
      <c r="C9" s="5" t="inlineStr">
        <is>
          <t>3部署とも同じ構成（成果・能力・姿勢／同じ項目数・同じウェイト）に統一。部署で変わるのは成果の指標のみ</t>
        </is>
      </c>
    </row>
    <row r="10" ht="42" customHeight="1">
      <c r="B10" s="5" t="inlineStr">
        <is>
          <t>評価する側もされる側も時間がかかる</t>
        </is>
      </c>
      <c r="C10" s="5" t="inlineStr">
        <is>
          <t>評価項目を約30項目→10項目前後に削減。プルダウン選択＋事実1行で完了する設計</t>
        </is>
      </c>
    </row>
    <row r="11" ht="42" customHeight="1">
      <c r="B11" s="5" t="inlineStr">
        <is>
          <t>日々の良かったこと・悪かったことが反映されない</t>
        </is>
      </c>
      <c r="C11" s="5" t="inlineStr">
        <is>
          <t>「日々の記録（月次ログ）」シートを追加。月末に1行ずつ記録し、期末はそこから転記するだけにする</t>
        </is>
      </c>
    </row>
    <row r="13">
      <c r="B13" s="3" t="inlineStr">
        <is>
          <t>■ この案の仕組み</t>
        </is>
      </c>
      <c r="C13" s="29" t="n"/>
    </row>
    <row r="14" ht="32" customHeight="1">
      <c r="B14" s="5" t="inlineStr">
        <is>
          <t>・点数を廃止し、全項目をS・A・B・C・Dの5段階で評価する（プルダウンで選ぶだけ）</t>
        </is>
      </c>
      <c r="C14" s="29" t="n"/>
    </row>
    <row r="15" ht="32" customHeight="1">
      <c r="B15" s="5" t="inlineStr">
        <is>
          <t>・評価項目は3部署共通で10項目（成果3＋能力4＋姿勢3）。部署で変わるのは「成果」の中身だけ</t>
        </is>
      </c>
      <c r="C15" s="29" t="n"/>
    </row>
    <row r="16" ht="36" customHeight="1">
      <c r="B16" s="5" t="inlineStr">
        <is>
          <t>・総合評価はExcelが自動計算（成果50％・能力30％・姿勢20％の重み付け）。総合Aは75点以上とし、成果の数字が伴わないと届かない基準にしている</t>
        </is>
      </c>
      <c r="C16" s="29" t="n"/>
    </row>
    <row r="17" ht="36" customHeight="1">
      <c r="B17" s="5" t="inlineStr">
        <is>
          <t>・最終評価と昇給幅は、これまでどおり社長が決定する（処遇の目安は現行どおり S:+5号／A:+3号／B:±0／C:-1号／D:-3号）</t>
        </is>
      </c>
      <c r="C17" s="29" t="n"/>
    </row>
    <row r="18" ht="36" customHeight="1">
      <c r="B18" s="5" t="inlineStr">
        <is>
          <t>・Aを含むすべての評価に「根拠となる事実」の記入が必須。書けない項目はBになるため、「とりあえずA」や感情による評価を防げる</t>
        </is>
      </c>
      <c r="C18" s="29" t="n"/>
    </row>
    <row r="20">
      <c r="B20" s="3" t="inlineStr">
        <is>
          <t>■ 運用ルール</t>
        </is>
      </c>
      <c r="C20" s="29" t="n"/>
    </row>
    <row r="21" ht="30" customHeight="1">
      <c r="B21" s="5" t="inlineStr">
        <is>
          <t>① A（期待どおり）が標準。ただし「何もしなくてもA」ではなく、「期待どおりやった事実がある」ことが条件</t>
        </is>
      </c>
      <c r="C21" s="29" t="n"/>
    </row>
    <row r="22" ht="30" customHeight="1">
      <c r="B22" s="5" t="inlineStr">
        <is>
          <t>② すべての項目に「根拠となる事実」を1行記入する（月報から転記でOK）。事実が書けない項目はB</t>
        </is>
      </c>
      <c r="C22" s="29" t="n"/>
    </row>
    <row r="23" ht="36" customHeight="1">
      <c r="B23" s="5" t="inlineStr">
        <is>
          <t>③ 総合評価はExcelが自動判定する。全項目Aなら80点で総合A、成果がB（数字未達）だと他がすべてAでも70点で総合B</t>
        </is>
      </c>
      <c r="C23" s="29" t="n"/>
    </row>
    <row r="24" ht="30" customHeight="1">
      <c r="B24" s="5" t="inlineStr">
        <is>
          <t>④ 最終評価と昇給幅は、これまでどおり社長が決定する</t>
        </is>
      </c>
      <c r="C24" s="29" t="n"/>
    </row>
  </sheetData>
  <mergeCells count="13">
    <mergeCell ref="B13:C13"/>
    <mergeCell ref="B21:C21"/>
    <mergeCell ref="B2:C2"/>
    <mergeCell ref="B16:C16"/>
    <mergeCell ref="B15:C15"/>
    <mergeCell ref="B24:C24"/>
    <mergeCell ref="B20:C20"/>
    <mergeCell ref="B23:C23"/>
    <mergeCell ref="B22:C22"/>
    <mergeCell ref="B14:C14"/>
    <mergeCell ref="B17:C17"/>
    <mergeCell ref="B18:C18"/>
    <mergeCell ref="B4:C4"/>
  </mergeCells>
  <printOptions horizontalCentered="1"/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D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78" customWidth="1" min="3" max="3"/>
    <col width="12" customWidth="1" min="4" max="4"/>
  </cols>
  <sheetData>
    <row r="2" ht="26" customHeight="1">
      <c r="B2" s="1" t="inlineStr">
        <is>
          <t>評価基準の定義（SABCD）</t>
        </is>
      </c>
      <c r="C2" s="30" t="n"/>
      <c r="D2" s="29" t="n"/>
    </row>
    <row r="4">
      <c r="B4" s="6" t="inlineStr">
        <is>
          <t>評価</t>
        </is>
      </c>
      <c r="C4" s="6" t="inlineStr">
        <is>
          <t>定義</t>
        </is>
      </c>
      <c r="D4" s="6" t="inlineStr">
        <is>
          <t>処遇（号数）</t>
        </is>
      </c>
    </row>
    <row r="5" ht="34" customHeight="1">
      <c r="B5" s="7" t="inlineStr">
        <is>
          <t>S</t>
        </is>
      </c>
      <c r="C5" s="5" t="inlineStr">
        <is>
          <t>期待水準を明確に超えた。それを示す具体的な事実を挙げられる（事実の記入が必須）</t>
        </is>
      </c>
      <c r="D5" s="8" t="inlineStr">
        <is>
          <t>+5号</t>
        </is>
      </c>
    </row>
    <row r="6" ht="40" customHeight="1">
      <c r="B6" s="9" t="inlineStr">
        <is>
          <t>A</t>
        </is>
      </c>
      <c r="C6" s="5" t="inlineStr">
        <is>
          <t>期待水準を満たしている（＝しっかりできている）。Aが標準であり、良い評価です。※期待どおりやった事実の記入が必須（書けない項目はB）</t>
        </is>
      </c>
      <c r="D6" s="8" t="inlineStr">
        <is>
          <t>+3号</t>
        </is>
      </c>
    </row>
    <row r="7" ht="34" customHeight="1">
      <c r="B7" s="10" t="inlineStr">
        <is>
          <t>B</t>
        </is>
      </c>
      <c r="C7" s="5" t="inlineStr">
        <is>
          <t>期待水準にやや届かない点があった（指導と本人の努力で改善できる）※事実の記入が必須</t>
        </is>
      </c>
      <c r="D7" s="8" t="inlineStr">
        <is>
          <t>±0号</t>
        </is>
      </c>
    </row>
    <row r="8" ht="34" customHeight="1">
      <c r="B8" s="11" t="inlineStr">
        <is>
          <t>C</t>
        </is>
      </c>
      <c r="C8" s="5" t="inlineStr">
        <is>
          <t>期待水準を満たしていない（明確な改善計画が必要）※事実の記入が必須</t>
        </is>
      </c>
      <c r="D8" s="8" t="inlineStr">
        <is>
          <t>-1号</t>
        </is>
      </c>
    </row>
    <row r="9" ht="34" customHeight="1">
      <c r="B9" s="12" t="inlineStr">
        <is>
          <t>D</t>
        </is>
      </c>
      <c r="C9" s="5" t="inlineStr">
        <is>
          <t>期待水準を大幅に下回る（配置・等級の見直しを検討）※事実の記入が必須</t>
        </is>
      </c>
      <c r="D9" s="8" t="inlineStr">
        <is>
          <t>-3号</t>
        </is>
      </c>
    </row>
    <row r="11">
      <c r="B11" s="3" t="inlineStr">
        <is>
          <t>■ 「なぜ満点じゃないのか？」への会社の答え方</t>
        </is>
      </c>
      <c r="C11" s="30" t="n"/>
      <c r="D11" s="29" t="n"/>
    </row>
    <row r="12" ht="26" customHeight="1">
      <c r="B12" s="5" t="inlineStr">
        <is>
          <t>・この制度に「満点」はありません。A（期待どおり）が標準であり、良い評価です。</t>
        </is>
      </c>
      <c r="C12" s="30" t="n"/>
      <c r="D12" s="29" t="n"/>
    </row>
    <row r="13" ht="26" customHeight="1">
      <c r="B13" s="5" t="inlineStr">
        <is>
          <t>・Sは「期待を超えた具体的な事実」を挙げられる場合にだけ付きます。逆に、Sを付けた評価者は事実を説明できなければなりません。</t>
        </is>
      </c>
      <c r="C13" s="30" t="n"/>
      <c r="D13" s="29" t="n"/>
    </row>
    <row r="14" ht="34" customHeight="1">
      <c r="B14" s="5" t="inlineStr">
        <is>
          <t>・Aを含め、すべての項目に事実の記入が必須です。事実が書けない項目はBになるため、「なんとなく」で下げることも、甘くAを付けることもできません。</t>
        </is>
      </c>
      <c r="C14" s="30" t="n"/>
      <c r="D14" s="29" t="n"/>
    </row>
    <row r="15" ht="26" customHeight="1">
      <c r="B15" s="5" t="inlineStr">
        <is>
          <t>・つまり本人への説明は常に『基準はこれ、事実はこれ、だから評価はこれ』の3点セットで行えます。</t>
        </is>
      </c>
      <c r="C15" s="30" t="n"/>
      <c r="D15" s="29" t="n"/>
    </row>
    <row r="17">
      <c r="B17" s="3" t="inlineStr">
        <is>
          <t>■ 総合評価の決まり方</t>
        </is>
      </c>
      <c r="C17" s="30" t="n"/>
      <c r="D17" s="29" t="n"/>
    </row>
    <row r="18" ht="26" customHeight="1">
      <c r="B18" s="5" t="inlineStr">
        <is>
          <t>・各項目の評価をS=5〜D=1に換算し、成果50％・能力30％・姿勢20％の重みで100点換算した目安を自動計算します。</t>
        </is>
      </c>
      <c r="C18" s="30" t="n"/>
      <c r="D18" s="29" t="n"/>
    </row>
    <row r="19" ht="36" customHeight="1">
      <c r="B19" s="5" t="inlineStr">
        <is>
          <t>・目安の換算：90点以上=S／75〜89=A／50〜74=B／40〜49=C／39以下=D
　（全項目Aなら80点で総合A。成果がB＝数字未達だと、他がすべてAでも70点で総合B）</t>
        </is>
      </c>
      <c r="C19" s="30" t="n"/>
      <c r="D19" s="29" t="n"/>
    </row>
    <row r="20" ht="26" customHeight="1">
      <c r="B20" s="5" t="inlineStr">
        <is>
          <t>・最終評価と昇給幅は、これまでどおり社長が決定します。自動の目安から変える場合は、理由を記入します。</t>
        </is>
      </c>
      <c r="C20" s="30" t="n"/>
      <c r="D20" s="29" t="n"/>
    </row>
  </sheetData>
  <mergeCells count="10">
    <mergeCell ref="B11:D11"/>
    <mergeCell ref="B19:D19"/>
    <mergeCell ref="B14:D14"/>
    <mergeCell ref="B15:D15"/>
    <mergeCell ref="B17:D17"/>
    <mergeCell ref="B18:D18"/>
    <mergeCell ref="B13:D13"/>
    <mergeCell ref="B12:D12"/>
    <mergeCell ref="B2:D2"/>
    <mergeCell ref="B20:D20"/>
  </mergeCells>
  <printOptions horizontalCentered="1"/>
  <pageMargins left="0.4" right="0.4" top="0.5" bottom="0.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" customWidth="1" min="2" max="2"/>
    <col width="17" customWidth="1" min="3" max="3"/>
    <col width="46" customWidth="1" min="4" max="4"/>
    <col width="9" customWidth="1" min="5" max="5"/>
    <col width="9" customWidth="1" min="6" max="6"/>
    <col width="34" customWidth="1" min="7" max="7"/>
    <col width="34" customWidth="1" min="8" max="8"/>
    <col hidden="1" width="5" customWidth="1" min="9" max="9"/>
    <col hidden="1" width="5" customWidth="1" min="10" max="10"/>
  </cols>
  <sheetData>
    <row r="1" ht="26" customHeight="1">
      <c r="A1" s="1" t="inlineStr">
        <is>
          <t>人事評価シート【SABCD評価版】　電算・編集</t>
        </is>
      </c>
      <c r="B1" s="30" t="n"/>
      <c r="C1" s="30" t="n"/>
      <c r="D1" s="30" t="n"/>
      <c r="E1" s="30" t="n"/>
      <c r="F1" s="30" t="n"/>
      <c r="G1" s="30" t="n"/>
      <c r="H1" s="29" t="n"/>
    </row>
    <row r="3">
      <c r="A3" s="13" t="inlineStr">
        <is>
          <t>部門</t>
        </is>
      </c>
      <c r="B3" s="13" t="inlineStr">
        <is>
          <t>氏名</t>
        </is>
      </c>
      <c r="C3" s="29" t="n"/>
      <c r="D3" s="13" t="inlineStr">
        <is>
          <t>評価期間</t>
        </is>
      </c>
      <c r="E3" s="13" t="inlineStr">
        <is>
          <t>等級</t>
        </is>
      </c>
      <c r="F3" s="13" t="inlineStr">
        <is>
          <t>号数</t>
        </is>
      </c>
      <c r="G3" s="13" t="inlineStr">
        <is>
          <t>評価者</t>
        </is>
      </c>
      <c r="H3" s="13" t="inlineStr">
        <is>
          <t>評価日</t>
        </is>
      </c>
    </row>
    <row r="4" ht="24" customHeight="1">
      <c r="A4" s="14" t="inlineStr"/>
      <c r="B4" s="14" t="inlineStr"/>
      <c r="C4" s="29" t="n"/>
      <c r="D4" s="14" t="inlineStr"/>
      <c r="E4" s="14" t="inlineStr"/>
      <c r="F4" s="14" t="inlineStr"/>
      <c r="G4" s="14" t="inlineStr"/>
      <c r="H4" s="14" t="inlineStr"/>
    </row>
    <row r="5" ht="24" customHeight="1">
      <c r="A5" s="13" t="inlineStr">
        <is>
          <t>部署目標</t>
        </is>
      </c>
      <c r="B5" s="15" t="inlineStr"/>
      <c r="C5" s="30" t="n"/>
      <c r="D5" s="29" t="n"/>
      <c r="E5" s="13" t="inlineStr">
        <is>
          <t>個人目標</t>
        </is>
      </c>
      <c r="F5" s="15" t="inlineStr"/>
      <c r="G5" s="30" t="n"/>
      <c r="H5" s="29" t="n"/>
    </row>
    <row r="6" ht="30" customHeight="1">
      <c r="A6" s="16" t="inlineStr">
        <is>
          <t>使い方：各項目をS〜Dのプルダウンで選ぶ（A＝期待どおり＝標準の良い評価）。すべての項目に「根拠となる事実」を1行記入（「日々の記録」シートから転記でOK）。事実が書けない項目はB。基準は「評価基準の定義」シート参照。</t>
        </is>
      </c>
      <c r="B6" s="30" t="n"/>
      <c r="C6" s="30" t="n"/>
      <c r="D6" s="30" t="n"/>
      <c r="E6" s="30" t="n"/>
      <c r="F6" s="30" t="n"/>
      <c r="G6" s="30" t="n"/>
      <c r="H6" s="29" t="n"/>
    </row>
    <row r="8">
      <c r="A8" s="6" t="inlineStr">
        <is>
          <t>分類</t>
        </is>
      </c>
      <c r="B8" s="6" t="inlineStr">
        <is>
          <t>No</t>
        </is>
      </c>
      <c r="C8" s="6" t="inlineStr">
        <is>
          <t>評価項目</t>
        </is>
      </c>
      <c r="D8" s="6" t="inlineStr">
        <is>
          <t>着眼点（【A】＝期待水準の目安）</t>
        </is>
      </c>
      <c r="E8" s="6" t="inlineStr">
        <is>
          <t>自己評価</t>
        </is>
      </c>
      <c r="F8" s="6" t="inlineStr">
        <is>
          <t>上司評価</t>
        </is>
      </c>
      <c r="G8" s="6" t="inlineStr">
        <is>
          <t>根拠となる事実（本人）</t>
        </is>
      </c>
      <c r="H8" s="6" t="inlineStr">
        <is>
          <t>根拠となる事実（上司）</t>
        </is>
      </c>
    </row>
    <row r="9" ht="44" customHeight="1">
      <c r="A9" s="17" t="inlineStr">
        <is>
          <t>成果</t>
        </is>
      </c>
      <c r="B9" s="8" t="n">
        <v>1</v>
      </c>
      <c r="C9" s="18" t="inlineStr">
        <is>
          <t>業務目標達成度</t>
        </is>
      </c>
      <c r="D9" s="19" t="inlineStr">
        <is>
          <t>生産金額の前期比。
【A＝前期比100％前後を維持】【S＝110％以上など、明確な上積みの事実】</t>
        </is>
      </c>
      <c r="E9" s="14" t="inlineStr"/>
      <c r="F9" s="14" t="inlineStr"/>
      <c r="G9" s="20" t="inlineStr"/>
      <c r="H9" s="20" t="inlineStr"/>
      <c r="I9">
        <f>IF(E9="","",IF(E9="S",5,IF(E9="A",4,IF(E9="B",3,IF(E9="C",2,1)))))</f>
        <v/>
      </c>
      <c r="J9">
        <f>IF(F9="","",IF(F9="S",5,IF(F9="A",4,IF(F9="B",3,IF(F9="C",2,1)))))</f>
        <v/>
      </c>
    </row>
    <row r="10" ht="44" customHeight="1">
      <c r="A10" s="31" t="n"/>
      <c r="B10" s="8" t="n">
        <v>2</v>
      </c>
      <c r="C10" s="18" t="inlineStr">
        <is>
          <t>納期・品質</t>
        </is>
      </c>
      <c r="D10" s="19" t="inlineStr">
        <is>
          <t>担当案件の納期遵守と、重大ミス（刷り直し・誤植事故など）の有無。
【A＝納期遵守・重大ミスなし】</t>
        </is>
      </c>
      <c r="E10" s="14" t="inlineStr"/>
      <c r="F10" s="14" t="inlineStr"/>
      <c r="G10" s="20" t="inlineStr"/>
      <c r="H10" s="20" t="inlineStr"/>
      <c r="I10">
        <f>IF(E10="","",IF(E10="S",5,IF(E10="A",4,IF(E10="B",3,IF(E10="C",2,1)))))</f>
        <v/>
      </c>
      <c r="J10">
        <f>IF(F10="","",IF(F10="S",5,IF(F10="A",4,IF(F10="B",3,IF(F10="C",2,1)))))</f>
        <v/>
      </c>
    </row>
    <row r="11" ht="44" customHeight="1">
      <c r="A11" s="32" t="n"/>
      <c r="B11" s="8" t="n">
        <v>3</v>
      </c>
      <c r="C11" s="18" t="inlineStr">
        <is>
          <t>課題目標達成度</t>
        </is>
      </c>
      <c r="D11" s="19" t="inlineStr">
        <is>
          <t>期初に設定した部署目標・個人目標の達成度。
【A＝おおむね達成（8割目安）】</t>
        </is>
      </c>
      <c r="E11" s="14" t="inlineStr"/>
      <c r="F11" s="14" t="inlineStr"/>
      <c r="G11" s="20" t="inlineStr"/>
      <c r="H11" s="20" t="inlineStr"/>
      <c r="I11">
        <f>IF(E11="","",IF(E11="S",5,IF(E11="A",4,IF(E11="B",3,IF(E11="C",2,1)))))</f>
        <v/>
      </c>
      <c r="J11">
        <f>IF(F11="","",IF(F11="S",5,IF(F11="A",4,IF(F11="B",3,IF(F11="C",2,1)))))</f>
        <v/>
      </c>
    </row>
    <row r="12" ht="44" customHeight="1">
      <c r="A12" s="21" t="inlineStr">
        <is>
          <t>能力</t>
        </is>
      </c>
      <c r="B12" s="8" t="n">
        <v>4</v>
      </c>
      <c r="C12" s="18" t="inlineStr">
        <is>
          <t>段取り・計画力</t>
        </is>
      </c>
      <c r="D12" s="19" t="inlineStr">
        <is>
          <t>納期から逆算した優先順位づけ、原価・効率を意識した段取りができたか。
【A＝自分の担当範囲の段取りを独力で回せている】</t>
        </is>
      </c>
      <c r="E12" s="14" t="inlineStr"/>
      <c r="F12" s="14" t="inlineStr"/>
      <c r="G12" s="20" t="inlineStr"/>
      <c r="H12" s="20" t="inlineStr"/>
      <c r="I12">
        <f>IF(E12="","",IF(E12="S",5,IF(E12="A",4,IF(E12="B",3,IF(E12="C",2,1)))))</f>
        <v/>
      </c>
      <c r="J12">
        <f>IF(F12="","",IF(F12="S",5,IF(F12="A",4,IF(F12="B",3,IF(F12="C",2,1)))))</f>
        <v/>
      </c>
    </row>
    <row r="13" ht="44" customHeight="1">
      <c r="A13" s="31" t="n"/>
      <c r="B13" s="8" t="n">
        <v>5</v>
      </c>
      <c r="C13" s="18" t="inlineStr">
        <is>
          <t>実行力・正確性</t>
        </is>
      </c>
      <c r="D13" s="19" t="inlineStr">
        <is>
          <t>通常業務と突発対応の完遂、仕事の正確さと速さ。
【A＝担当業務を期限内に正確に完遂できている】</t>
        </is>
      </c>
      <c r="E13" s="14" t="inlineStr"/>
      <c r="F13" s="14" t="inlineStr"/>
      <c r="G13" s="20" t="inlineStr"/>
      <c r="H13" s="20" t="inlineStr"/>
      <c r="I13">
        <f>IF(E13="","",IF(E13="S",5,IF(E13="A",4,IF(E13="B",3,IF(E13="C",2,1)))))</f>
        <v/>
      </c>
      <c r="J13">
        <f>IF(F13="","",IF(F13="S",5,IF(F13="A",4,IF(F13="B",3,IF(F13="C",2,1)))))</f>
        <v/>
      </c>
    </row>
    <row r="14" ht="44" customHeight="1">
      <c r="A14" s="31" t="n"/>
      <c r="B14" s="8" t="n">
        <v>6</v>
      </c>
      <c r="C14" s="18" t="inlineStr">
        <is>
          <t>改善力</t>
        </is>
      </c>
      <c r="D14" s="19" t="inlineStr">
        <is>
          <t>業務の効率化・コスト削減・仕組み化を自ら実行したか。
【A＝小さくても改善を実行した事実がある】</t>
        </is>
      </c>
      <c r="E14" s="14" t="inlineStr"/>
      <c r="F14" s="14" t="inlineStr"/>
      <c r="G14" s="20" t="inlineStr"/>
      <c r="H14" s="20" t="inlineStr"/>
      <c r="I14">
        <f>IF(E14="","",IF(E14="S",5,IF(E14="A",4,IF(E14="B",3,IF(E14="C",2,1)))))</f>
        <v/>
      </c>
      <c r="J14">
        <f>IF(F14="","",IF(F14="S",5,IF(F14="A",4,IF(F14="B",3,IF(F14="C",2,1)))))</f>
        <v/>
      </c>
    </row>
    <row r="15" ht="44" customHeight="1">
      <c r="A15" s="32" t="n"/>
      <c r="B15" s="8" t="n">
        <v>7</v>
      </c>
      <c r="C15" s="18" t="inlineStr">
        <is>
          <t>トラブル対応・報連相</t>
        </is>
      </c>
      <c r="D15" s="19" t="inlineStr">
        <is>
          <t>トラブル時に迅速に報連相し、再発防止策まで実行したか。
【A＝抱え込まず報告し、対処できている】</t>
        </is>
      </c>
      <c r="E15" s="14" t="inlineStr"/>
      <c r="F15" s="14" t="inlineStr"/>
      <c r="G15" s="20" t="inlineStr"/>
      <c r="H15" s="20" t="inlineStr"/>
      <c r="I15">
        <f>IF(E15="","",IF(E15="S",5,IF(E15="A",4,IF(E15="B",3,IF(E15="C",2,1)))))</f>
        <v/>
      </c>
      <c r="J15">
        <f>IF(F15="","",IF(F15="S",5,IF(F15="A",4,IF(F15="B",3,IF(F15="C",2,1)))))</f>
        <v/>
      </c>
    </row>
    <row r="16" ht="44" customHeight="1">
      <c r="A16" s="22" t="inlineStr">
        <is>
          <t>姿勢</t>
        </is>
      </c>
      <c r="B16" s="8" t="n">
        <v>8</v>
      </c>
      <c r="C16" s="18" t="inlineStr">
        <is>
          <t>責任性</t>
        </is>
      </c>
      <c r="D16" s="19" t="inlineStr">
        <is>
          <t>期日を守る。厳しいときは事前に相談・調整できたか。
【A＝期日遅れがなく、難しい場合も事前に相談している】</t>
        </is>
      </c>
      <c r="E16" s="14" t="inlineStr"/>
      <c r="F16" s="14" t="inlineStr"/>
      <c r="G16" s="20" t="inlineStr"/>
      <c r="H16" s="20" t="inlineStr"/>
      <c r="I16">
        <f>IF(E16="","",IF(E16="S",5,IF(E16="A",4,IF(E16="B",3,IF(E16="C",2,1)))))</f>
        <v/>
      </c>
      <c r="J16">
        <f>IF(F16="","",IF(F16="S",5,IF(F16="A",4,IF(F16="B",3,IF(F16="C",2,1)))))</f>
        <v/>
      </c>
    </row>
    <row r="17" ht="44" customHeight="1">
      <c r="A17" s="31" t="n"/>
      <c r="B17" s="8" t="n">
        <v>9</v>
      </c>
      <c r="C17" s="18" t="inlineStr">
        <is>
          <t>積極性・学習</t>
        </is>
      </c>
      <c r="D17" s="19" t="inlineStr">
        <is>
          <t>仕事の幅を広げる行動、知識・技術の習得をしたか。
【A＝業務に必要な学び・情報収集を続けている】</t>
        </is>
      </c>
      <c r="E17" s="14" t="inlineStr"/>
      <c r="F17" s="14" t="inlineStr"/>
      <c r="G17" s="20" t="inlineStr"/>
      <c r="H17" s="20" t="inlineStr"/>
      <c r="I17">
        <f>IF(E17="","",IF(E17="S",5,IF(E17="A",4,IF(E17="B",3,IF(E17="C",2,1)))))</f>
        <v/>
      </c>
      <c r="J17">
        <f>IF(F17="","",IF(F17="S",5,IF(F17="A",4,IF(F17="B",3,IF(F17="C",2,1)))))</f>
        <v/>
      </c>
    </row>
    <row r="18" ht="44" customHeight="1">
      <c r="A18" s="32" t="n"/>
      <c r="B18" s="8" t="n">
        <v>10</v>
      </c>
      <c r="C18" s="18" t="inlineStr">
        <is>
          <t>協調性・連携</t>
        </is>
      </c>
      <c r="D18" s="19" t="inlineStr">
        <is>
          <t>次工程・他部署への配慮、助け合い、情報共有ができたか。
【A＝周囲と円滑に連携し、必要な共有ができている】</t>
        </is>
      </c>
      <c r="E18" s="14" t="inlineStr"/>
      <c r="F18" s="14" t="inlineStr"/>
      <c r="G18" s="20" t="inlineStr"/>
      <c r="H18" s="20" t="inlineStr"/>
      <c r="I18">
        <f>IF(E18="","",IF(E18="S",5,IF(E18="A",4,IF(E18="B",3,IF(E18="C",2,1)))))</f>
        <v/>
      </c>
      <c r="J18">
        <f>IF(F18="","",IF(F18="S",5,IF(F18="A",4,IF(F18="B",3,IF(F18="C",2,1)))))</f>
        <v/>
      </c>
    </row>
    <row r="20">
      <c r="A20" s="23" t="inlineStr">
        <is>
          <t>総合評価</t>
        </is>
      </c>
      <c r="B20" s="30" t="n"/>
      <c r="C20" s="30" t="n"/>
      <c r="D20" s="30" t="n"/>
      <c r="E20" s="30" t="n"/>
      <c r="F20" s="30" t="n"/>
      <c r="G20" s="30" t="n"/>
      <c r="H20" s="29" t="n"/>
    </row>
    <row r="21">
      <c r="C21" s="13" t="inlineStr">
        <is>
          <t>区分</t>
        </is>
      </c>
      <c r="D21" s="29" t="n"/>
      <c r="E21" s="13" t="inlineStr">
        <is>
          <t>自己</t>
        </is>
      </c>
      <c r="F21" s="13" t="inlineStr">
        <is>
          <t>上司</t>
        </is>
      </c>
      <c r="G21" s="24" t="inlineStr">
        <is>
          <t>重み：成果50％・能力30％・姿勢20％（詳細は「評価基準の定義」）</t>
        </is>
      </c>
      <c r="H21" s="29" t="n"/>
    </row>
    <row r="22">
      <c r="C22" s="25" t="inlineStr">
        <is>
          <t>換算点（100点換算・自動）</t>
        </is>
      </c>
      <c r="D22" s="29" t="n"/>
      <c r="E22" s="8">
        <f>IFERROR(ROUND(AVERAGE(I9:I11)/5*50+AVERAGE(I12:I15)/5*30+AVERAGE(I16:I18)/5*20,1),"")</f>
        <v/>
      </c>
      <c r="F22" s="8">
        <f>IFERROR(ROUND(AVERAGE(J9:J11)/5*50+AVERAGE(J12:J15)/5*30+AVERAGE(J16:J18)/5*20,1),"")</f>
        <v/>
      </c>
    </row>
    <row r="23">
      <c r="C23" s="25" t="inlineStr">
        <is>
          <t>総合評価（自動・目安）</t>
        </is>
      </c>
      <c r="D23" s="29" t="n"/>
      <c r="E23" s="26">
        <f>IF(E22="","",IF(E22&gt;=90,"S",IF(E22&gt;=75,"A",IF(E22&gt;=50,"B",IF(E22&gt;=40,"C","D")))))</f>
        <v/>
      </c>
      <c r="F23" s="26">
        <f>IF(F22="","",IF(F22&gt;=90,"S",IF(F22&gt;=75,"A",IF(F22&gt;=50,"B",IF(F22&gt;=40,"C","D")))))</f>
        <v/>
      </c>
    </row>
    <row r="24" ht="30" customHeight="1">
      <c r="C24" s="25" t="inlineStr">
        <is>
          <t>最終総合評価（社長が決定）※自動の目安から変更する場合は右の欄に理由を記入</t>
        </is>
      </c>
      <c r="D24" s="29" t="n"/>
      <c r="E24" s="16" t="inlineStr"/>
      <c r="F24" s="27" t="inlineStr"/>
      <c r="G24" s="15" t="inlineStr"/>
      <c r="H24" s="29" t="n"/>
    </row>
    <row r="26">
      <c r="A26" s="28" t="inlineStr">
        <is>
          <t>本人コメント（今期の振り返り：「日々の記録」シートから転記でOK）</t>
        </is>
      </c>
      <c r="B26" s="30" t="n"/>
      <c r="C26" s="30" t="n"/>
      <c r="D26" s="30" t="n"/>
      <c r="E26" s="30" t="n"/>
      <c r="F26" s="30" t="n"/>
      <c r="G26" s="30" t="n"/>
      <c r="H26" s="29" t="n"/>
    </row>
    <row r="27" ht="30" customHeight="1">
      <c r="A27" s="20" t="inlineStr"/>
      <c r="B27" s="33" t="n"/>
      <c r="C27" s="33" t="n"/>
      <c r="D27" s="33" t="n"/>
      <c r="E27" s="33" t="n"/>
      <c r="F27" s="33" t="n"/>
      <c r="G27" s="33" t="n"/>
      <c r="H27" s="34" t="n"/>
    </row>
    <row r="28" ht="30" customHeight="1">
      <c r="A28" s="35" t="n"/>
      <c r="B28" s="36" t="n"/>
      <c r="C28" s="36" t="n"/>
      <c r="D28" s="36" t="n"/>
      <c r="E28" s="36" t="n"/>
      <c r="F28" s="36" t="n"/>
      <c r="G28" s="36" t="n"/>
      <c r="H28" s="37" t="n"/>
    </row>
    <row r="29">
      <c r="A29" s="28" t="inlineStr">
        <is>
          <t>評価者コメント（総評：良かった点をひとつ＋来期に期待することをひとつ、必ず書く）</t>
        </is>
      </c>
      <c r="B29" s="30" t="n"/>
      <c r="C29" s="30" t="n"/>
      <c r="D29" s="30" t="n"/>
      <c r="E29" s="30" t="n"/>
      <c r="F29" s="30" t="n"/>
      <c r="G29" s="30" t="n"/>
      <c r="H29" s="29" t="n"/>
    </row>
    <row r="30" ht="30" customHeight="1">
      <c r="A30" s="20" t="inlineStr"/>
      <c r="B30" s="33" t="n"/>
      <c r="C30" s="33" t="n"/>
      <c r="D30" s="33" t="n"/>
      <c r="E30" s="33" t="n"/>
      <c r="F30" s="33" t="n"/>
      <c r="G30" s="33" t="n"/>
      <c r="H30" s="34" t="n"/>
    </row>
    <row r="31" ht="30" customHeight="1">
      <c r="A31" s="35" t="n"/>
      <c r="B31" s="36" t="n"/>
      <c r="C31" s="36" t="n"/>
      <c r="D31" s="36" t="n"/>
      <c r="E31" s="36" t="n"/>
      <c r="F31" s="36" t="n"/>
      <c r="G31" s="36" t="n"/>
      <c r="H31" s="37" t="n"/>
    </row>
    <row r="32">
      <c r="C32" s="13" t="inlineStr">
        <is>
          <t>新等級</t>
        </is>
      </c>
      <c r="D32" s="14" t="inlineStr"/>
      <c r="E32" s="13" t="inlineStr">
        <is>
          <t>新号数</t>
        </is>
      </c>
      <c r="F32" s="14" t="inlineStr"/>
      <c r="G32" s="13" t="inlineStr">
        <is>
          <t>賞与</t>
        </is>
      </c>
      <c r="H32" s="14" t="inlineStr"/>
    </row>
  </sheetData>
  <mergeCells count="21">
    <mergeCell ref="G21:H21"/>
    <mergeCell ref="C24:D24"/>
    <mergeCell ref="F5:H5"/>
    <mergeCell ref="B3:C3"/>
    <mergeCell ref="A1:H1"/>
    <mergeCell ref="A6:H6"/>
    <mergeCell ref="A12:A15"/>
    <mergeCell ref="C22:D22"/>
    <mergeCell ref="A9:A11"/>
    <mergeCell ref="A26:H26"/>
    <mergeCell ref="B5:D5"/>
    <mergeCell ref="C21:D21"/>
    <mergeCell ref="G24:H24"/>
    <mergeCell ref="A30:H31"/>
    <mergeCell ref="C23:D23"/>
    <mergeCell ref="A29:H29"/>
    <mergeCell ref="A3"/>
    <mergeCell ref="A16:A18"/>
    <mergeCell ref="A20:H20"/>
    <mergeCell ref="B4:C4"/>
    <mergeCell ref="A27:H28"/>
  </mergeCells>
  <dataValidations count="1">
    <dataValidation sqref="E9:F18 F24" showDropDown="0" showInputMessage="0" showErrorMessage="1" allowBlank="1" errorTitle="入力エラー" error="S・A・B・C・Dのいずれかを選択してください" type="list">
      <formula1>"S,A,B,C,D"</formula1>
    </dataValidation>
  </dataValidations>
  <printOptions horizontalCentered="1"/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" customWidth="1" min="2" max="2"/>
    <col width="17" customWidth="1" min="3" max="3"/>
    <col width="46" customWidth="1" min="4" max="4"/>
    <col width="9" customWidth="1" min="5" max="5"/>
    <col width="9" customWidth="1" min="6" max="6"/>
    <col width="34" customWidth="1" min="7" max="7"/>
    <col width="34" customWidth="1" min="8" max="8"/>
    <col hidden="1" width="5" customWidth="1" min="9" max="9"/>
    <col hidden="1" width="5" customWidth="1" min="10" max="10"/>
  </cols>
  <sheetData>
    <row r="1" ht="26" customHeight="1">
      <c r="A1" s="1" t="inlineStr">
        <is>
          <t>人事評価シート【SABCD評価版】　営業</t>
        </is>
      </c>
      <c r="B1" s="30" t="n"/>
      <c r="C1" s="30" t="n"/>
      <c r="D1" s="30" t="n"/>
      <c r="E1" s="30" t="n"/>
      <c r="F1" s="30" t="n"/>
      <c r="G1" s="30" t="n"/>
      <c r="H1" s="29" t="n"/>
    </row>
    <row r="3">
      <c r="A3" s="13" t="inlineStr">
        <is>
          <t>部門</t>
        </is>
      </c>
      <c r="B3" s="13" t="inlineStr">
        <is>
          <t>氏名</t>
        </is>
      </c>
      <c r="C3" s="29" t="n"/>
      <c r="D3" s="13" t="inlineStr">
        <is>
          <t>評価期間</t>
        </is>
      </c>
      <c r="E3" s="13" t="inlineStr">
        <is>
          <t>等級</t>
        </is>
      </c>
      <c r="F3" s="13" t="inlineStr">
        <is>
          <t>号数</t>
        </is>
      </c>
      <c r="G3" s="13" t="inlineStr">
        <is>
          <t>評価者</t>
        </is>
      </c>
      <c r="H3" s="13" t="inlineStr">
        <is>
          <t>評価日</t>
        </is>
      </c>
    </row>
    <row r="4" ht="24" customHeight="1">
      <c r="A4" s="14" t="inlineStr"/>
      <c r="B4" s="14" t="inlineStr"/>
      <c r="C4" s="29" t="n"/>
      <c r="D4" s="14" t="inlineStr"/>
      <c r="E4" s="14" t="inlineStr"/>
      <c r="F4" s="14" t="inlineStr"/>
      <c r="G4" s="14" t="inlineStr"/>
      <c r="H4" s="14" t="inlineStr"/>
    </row>
    <row r="5" ht="24" customHeight="1">
      <c r="A5" s="13" t="inlineStr">
        <is>
          <t>部署目標</t>
        </is>
      </c>
      <c r="B5" s="15" t="inlineStr"/>
      <c r="C5" s="30" t="n"/>
      <c r="D5" s="29" t="n"/>
      <c r="E5" s="13" t="inlineStr">
        <is>
          <t>個人目標</t>
        </is>
      </c>
      <c r="F5" s="15" t="inlineStr"/>
      <c r="G5" s="30" t="n"/>
      <c r="H5" s="29" t="n"/>
    </row>
    <row r="6" ht="30" customHeight="1">
      <c r="A6" s="16" t="inlineStr">
        <is>
          <t>使い方：各項目をS〜Dのプルダウンで選ぶ（A＝期待どおり＝標準の良い評価）。すべての項目に「根拠となる事実」を1行記入（「日々の記録」シートから転記でOK）。事実が書けない項目はB。基準は「評価基準の定義」シート参照。</t>
        </is>
      </c>
      <c r="B6" s="30" t="n"/>
      <c r="C6" s="30" t="n"/>
      <c r="D6" s="30" t="n"/>
      <c r="E6" s="30" t="n"/>
      <c r="F6" s="30" t="n"/>
      <c r="G6" s="30" t="n"/>
      <c r="H6" s="29" t="n"/>
    </row>
    <row r="8">
      <c r="A8" s="6" t="inlineStr">
        <is>
          <t>分類</t>
        </is>
      </c>
      <c r="B8" s="6" t="inlineStr">
        <is>
          <t>No</t>
        </is>
      </c>
      <c r="C8" s="6" t="inlineStr">
        <is>
          <t>評価項目</t>
        </is>
      </c>
      <c r="D8" s="6" t="inlineStr">
        <is>
          <t>着眼点（【A】＝期待水準の目安）</t>
        </is>
      </c>
      <c r="E8" s="6" t="inlineStr">
        <is>
          <t>自己評価</t>
        </is>
      </c>
      <c r="F8" s="6" t="inlineStr">
        <is>
          <t>上司評価</t>
        </is>
      </c>
      <c r="G8" s="6" t="inlineStr">
        <is>
          <t>根拠となる事実（本人）</t>
        </is>
      </c>
      <c r="H8" s="6" t="inlineStr">
        <is>
          <t>根拠となる事実（上司）</t>
        </is>
      </c>
    </row>
    <row r="9" ht="44" customHeight="1">
      <c r="A9" s="17" t="inlineStr">
        <is>
          <t>成果</t>
        </is>
      </c>
      <c r="B9" s="8" t="n">
        <v>1</v>
      </c>
      <c r="C9" s="18" t="inlineStr">
        <is>
          <t>利益目標達成度（個人）</t>
        </is>
      </c>
      <c r="D9" s="19" t="inlineStr">
        <is>
          <t>個人の売上・利益目標の達成率。
【A＝達成率90％以上】【S＝110％以上】※率は会社で調整可</t>
        </is>
      </c>
      <c r="E9" s="14" t="inlineStr"/>
      <c r="F9" s="14" t="inlineStr"/>
      <c r="G9" s="20" t="inlineStr"/>
      <c r="H9" s="20" t="inlineStr"/>
      <c r="I9">
        <f>IF(E9="","",IF(E9="S",5,IF(E9="A",4,IF(E9="B",3,IF(E9="C",2,1)))))</f>
        <v/>
      </c>
      <c r="J9">
        <f>IF(F9="","",IF(F9="S",5,IF(F9="A",4,IF(F9="B",3,IF(F9="C",2,1)))))</f>
        <v/>
      </c>
    </row>
    <row r="10" ht="44" customHeight="1">
      <c r="A10" s="31" t="n"/>
      <c r="B10" s="8" t="n">
        <v>2</v>
      </c>
      <c r="C10" s="18" t="inlineStr">
        <is>
          <t>部署目標への貢献</t>
        </is>
      </c>
      <c r="D10" s="19" t="inlineStr">
        <is>
          <t>部署の売上・利益目標に対する貢献（数字と行動の両面）。
【A＝自分の役割を果たし、部署目標達成に貢献した】</t>
        </is>
      </c>
      <c r="E10" s="14" t="inlineStr"/>
      <c r="F10" s="14" t="inlineStr"/>
      <c r="G10" s="20" t="inlineStr"/>
      <c r="H10" s="20" t="inlineStr"/>
      <c r="I10">
        <f>IF(E10="","",IF(E10="S",5,IF(E10="A",4,IF(E10="B",3,IF(E10="C",2,1)))))</f>
        <v/>
      </c>
      <c r="J10">
        <f>IF(F10="","",IF(F10="S",5,IF(F10="A",4,IF(F10="B",3,IF(F10="C",2,1)))))</f>
        <v/>
      </c>
    </row>
    <row r="11" ht="44" customHeight="1">
      <c r="A11" s="32" t="n"/>
      <c r="B11" s="8" t="n">
        <v>3</v>
      </c>
      <c r="C11" s="18" t="inlineStr">
        <is>
          <t>課題目標達成度</t>
        </is>
      </c>
      <c r="D11" s="19" t="inlineStr">
        <is>
          <t>期初に立てた行動目標（新規開拓・既存深耕など）の実行度。
【A＝計画した行動をおおむね実行した】</t>
        </is>
      </c>
      <c r="E11" s="14" t="inlineStr"/>
      <c r="F11" s="14" t="inlineStr"/>
      <c r="G11" s="20" t="inlineStr"/>
      <c r="H11" s="20" t="inlineStr"/>
      <c r="I11">
        <f>IF(E11="","",IF(E11="S",5,IF(E11="A",4,IF(E11="B",3,IF(E11="C",2,1)))))</f>
        <v/>
      </c>
      <c r="J11">
        <f>IF(F11="","",IF(F11="S",5,IF(F11="A",4,IF(F11="B",3,IF(F11="C",2,1)))))</f>
        <v/>
      </c>
    </row>
    <row r="12" ht="44" customHeight="1">
      <c r="A12" s="21" t="inlineStr">
        <is>
          <t>能力</t>
        </is>
      </c>
      <c r="B12" s="8" t="n">
        <v>4</v>
      </c>
      <c r="C12" s="18" t="inlineStr">
        <is>
          <t>段取り・計画力</t>
        </is>
      </c>
      <c r="D12" s="19" t="inlineStr">
        <is>
          <t>納期から逆算した優先順位づけ、原価・効率を意識した段取りができたか。
【A＝自分の担当範囲の段取りを独力で回せている】</t>
        </is>
      </c>
      <c r="E12" s="14" t="inlineStr"/>
      <c r="F12" s="14" t="inlineStr"/>
      <c r="G12" s="20" t="inlineStr"/>
      <c r="H12" s="20" t="inlineStr"/>
      <c r="I12">
        <f>IF(E12="","",IF(E12="S",5,IF(E12="A",4,IF(E12="B",3,IF(E12="C",2,1)))))</f>
        <v/>
      </c>
      <c r="J12">
        <f>IF(F12="","",IF(F12="S",5,IF(F12="A",4,IF(F12="B",3,IF(F12="C",2,1)))))</f>
        <v/>
      </c>
    </row>
    <row r="13" ht="44" customHeight="1">
      <c r="A13" s="31" t="n"/>
      <c r="B13" s="8" t="n">
        <v>5</v>
      </c>
      <c r="C13" s="18" t="inlineStr">
        <is>
          <t>実行力・正確性</t>
        </is>
      </c>
      <c r="D13" s="19" t="inlineStr">
        <is>
          <t>通常業務と突発対応の完遂、仕事の正確さと速さ。
【A＝担当業務を期限内に正確に完遂できている】</t>
        </is>
      </c>
      <c r="E13" s="14" t="inlineStr"/>
      <c r="F13" s="14" t="inlineStr"/>
      <c r="G13" s="20" t="inlineStr"/>
      <c r="H13" s="20" t="inlineStr"/>
      <c r="I13">
        <f>IF(E13="","",IF(E13="S",5,IF(E13="A",4,IF(E13="B",3,IF(E13="C",2,1)))))</f>
        <v/>
      </c>
      <c r="J13">
        <f>IF(F13="","",IF(F13="S",5,IF(F13="A",4,IF(F13="B",3,IF(F13="C",2,1)))))</f>
        <v/>
      </c>
    </row>
    <row r="14" ht="44" customHeight="1">
      <c r="A14" s="31" t="n"/>
      <c r="B14" s="8" t="n">
        <v>6</v>
      </c>
      <c r="C14" s="18" t="inlineStr">
        <is>
          <t>改善力</t>
        </is>
      </c>
      <c r="D14" s="19" t="inlineStr">
        <is>
          <t>業務の効率化・コスト削減・仕組み化を自ら実行したか。
【A＝小さくても改善を実行した事実がある】</t>
        </is>
      </c>
      <c r="E14" s="14" t="inlineStr"/>
      <c r="F14" s="14" t="inlineStr"/>
      <c r="G14" s="20" t="inlineStr"/>
      <c r="H14" s="20" t="inlineStr"/>
      <c r="I14">
        <f>IF(E14="","",IF(E14="S",5,IF(E14="A",4,IF(E14="B",3,IF(E14="C",2,1)))))</f>
        <v/>
      </c>
      <c r="J14">
        <f>IF(F14="","",IF(F14="S",5,IF(F14="A",4,IF(F14="B",3,IF(F14="C",2,1)))))</f>
        <v/>
      </c>
    </row>
    <row r="15" ht="44" customHeight="1">
      <c r="A15" s="32" t="n"/>
      <c r="B15" s="8" t="n">
        <v>7</v>
      </c>
      <c r="C15" s="18" t="inlineStr">
        <is>
          <t>トラブル対応・報連相</t>
        </is>
      </c>
      <c r="D15" s="19" t="inlineStr">
        <is>
          <t>トラブル時に迅速に報連相し、再発防止策まで実行したか。
【A＝抱え込まず報告し、対処できている】</t>
        </is>
      </c>
      <c r="E15" s="14" t="inlineStr"/>
      <c r="F15" s="14" t="inlineStr"/>
      <c r="G15" s="20" t="inlineStr"/>
      <c r="H15" s="20" t="inlineStr"/>
      <c r="I15">
        <f>IF(E15="","",IF(E15="S",5,IF(E15="A",4,IF(E15="B",3,IF(E15="C",2,1)))))</f>
        <v/>
      </c>
      <c r="J15">
        <f>IF(F15="","",IF(F15="S",5,IF(F15="A",4,IF(F15="B",3,IF(F15="C",2,1)))))</f>
        <v/>
      </c>
    </row>
    <row r="16" ht="44" customHeight="1">
      <c r="A16" s="22" t="inlineStr">
        <is>
          <t>姿勢</t>
        </is>
      </c>
      <c r="B16" s="8" t="n">
        <v>8</v>
      </c>
      <c r="C16" s="18" t="inlineStr">
        <is>
          <t>責任性</t>
        </is>
      </c>
      <c r="D16" s="19" t="inlineStr">
        <is>
          <t>期日を守る。厳しいときは事前に相談・調整できたか。
【A＝期日遅れがなく、難しい場合も事前に相談している】</t>
        </is>
      </c>
      <c r="E16" s="14" t="inlineStr"/>
      <c r="F16" s="14" t="inlineStr"/>
      <c r="G16" s="20" t="inlineStr"/>
      <c r="H16" s="20" t="inlineStr"/>
      <c r="I16">
        <f>IF(E16="","",IF(E16="S",5,IF(E16="A",4,IF(E16="B",3,IF(E16="C",2,1)))))</f>
        <v/>
      </c>
      <c r="J16">
        <f>IF(F16="","",IF(F16="S",5,IF(F16="A",4,IF(F16="B",3,IF(F16="C",2,1)))))</f>
        <v/>
      </c>
    </row>
    <row r="17" ht="44" customHeight="1">
      <c r="A17" s="31" t="n"/>
      <c r="B17" s="8" t="n">
        <v>9</v>
      </c>
      <c r="C17" s="18" t="inlineStr">
        <is>
          <t>積極性・学習</t>
        </is>
      </c>
      <c r="D17" s="19" t="inlineStr">
        <is>
          <t>仕事の幅を広げる行動、知識・技術の習得をしたか。
【A＝業務に必要な学び・情報収集を続けている】</t>
        </is>
      </c>
      <c r="E17" s="14" t="inlineStr"/>
      <c r="F17" s="14" t="inlineStr"/>
      <c r="G17" s="20" t="inlineStr"/>
      <c r="H17" s="20" t="inlineStr"/>
      <c r="I17">
        <f>IF(E17="","",IF(E17="S",5,IF(E17="A",4,IF(E17="B",3,IF(E17="C",2,1)))))</f>
        <v/>
      </c>
      <c r="J17">
        <f>IF(F17="","",IF(F17="S",5,IF(F17="A",4,IF(F17="B",3,IF(F17="C",2,1)))))</f>
        <v/>
      </c>
    </row>
    <row r="18" ht="44" customHeight="1">
      <c r="A18" s="32" t="n"/>
      <c r="B18" s="8" t="n">
        <v>10</v>
      </c>
      <c r="C18" s="18" t="inlineStr">
        <is>
          <t>協調性・連携</t>
        </is>
      </c>
      <c r="D18" s="19" t="inlineStr">
        <is>
          <t>次工程・他部署への配慮、助け合い、情報共有ができたか。
【A＝周囲と円滑に連携し、必要な共有ができている】</t>
        </is>
      </c>
      <c r="E18" s="14" t="inlineStr"/>
      <c r="F18" s="14" t="inlineStr"/>
      <c r="G18" s="20" t="inlineStr"/>
      <c r="H18" s="20" t="inlineStr"/>
      <c r="I18">
        <f>IF(E18="","",IF(E18="S",5,IF(E18="A",4,IF(E18="B",3,IF(E18="C",2,1)))))</f>
        <v/>
      </c>
      <c r="J18">
        <f>IF(F18="","",IF(F18="S",5,IF(F18="A",4,IF(F18="B",3,IF(F18="C",2,1)))))</f>
        <v/>
      </c>
    </row>
    <row r="20">
      <c r="A20" s="23" t="inlineStr">
        <is>
          <t>総合評価</t>
        </is>
      </c>
      <c r="B20" s="30" t="n"/>
      <c r="C20" s="30" t="n"/>
      <c r="D20" s="30" t="n"/>
      <c r="E20" s="30" t="n"/>
      <c r="F20" s="30" t="n"/>
      <c r="G20" s="30" t="n"/>
      <c r="H20" s="29" t="n"/>
    </row>
    <row r="21">
      <c r="C21" s="13" t="inlineStr">
        <is>
          <t>区分</t>
        </is>
      </c>
      <c r="D21" s="29" t="n"/>
      <c r="E21" s="13" t="inlineStr">
        <is>
          <t>自己</t>
        </is>
      </c>
      <c r="F21" s="13" t="inlineStr">
        <is>
          <t>上司</t>
        </is>
      </c>
      <c r="G21" s="24" t="inlineStr">
        <is>
          <t>重み：成果50％・能力30％・姿勢20％（詳細は「評価基準の定義」）</t>
        </is>
      </c>
      <c r="H21" s="29" t="n"/>
    </row>
    <row r="22">
      <c r="C22" s="25" t="inlineStr">
        <is>
          <t>換算点（100点換算・自動）</t>
        </is>
      </c>
      <c r="D22" s="29" t="n"/>
      <c r="E22" s="8">
        <f>IFERROR(ROUND(AVERAGE(I9:I11)/5*50+AVERAGE(I12:I15)/5*30+AVERAGE(I16:I18)/5*20,1),"")</f>
        <v/>
      </c>
      <c r="F22" s="8">
        <f>IFERROR(ROUND(AVERAGE(J9:J11)/5*50+AVERAGE(J12:J15)/5*30+AVERAGE(J16:J18)/5*20,1),"")</f>
        <v/>
      </c>
    </row>
    <row r="23">
      <c r="C23" s="25" t="inlineStr">
        <is>
          <t>総合評価（自動・目安）</t>
        </is>
      </c>
      <c r="D23" s="29" t="n"/>
      <c r="E23" s="26">
        <f>IF(E22="","",IF(E22&gt;=90,"S",IF(E22&gt;=75,"A",IF(E22&gt;=50,"B",IF(E22&gt;=40,"C","D")))))</f>
        <v/>
      </c>
      <c r="F23" s="26">
        <f>IF(F22="","",IF(F22&gt;=90,"S",IF(F22&gt;=75,"A",IF(F22&gt;=50,"B",IF(F22&gt;=40,"C","D")))))</f>
        <v/>
      </c>
    </row>
    <row r="24" ht="30" customHeight="1">
      <c r="C24" s="25" t="inlineStr">
        <is>
          <t>最終総合評価（社長が決定）※自動の目安から変更する場合は右の欄に理由を記入</t>
        </is>
      </c>
      <c r="D24" s="29" t="n"/>
      <c r="E24" s="16" t="inlineStr"/>
      <c r="F24" s="27" t="inlineStr"/>
      <c r="G24" s="15" t="inlineStr"/>
      <c r="H24" s="29" t="n"/>
    </row>
    <row r="26">
      <c r="A26" s="28" t="inlineStr">
        <is>
          <t>本人コメント（今期の振り返り：「日々の記録」シートから転記でOK）</t>
        </is>
      </c>
      <c r="B26" s="30" t="n"/>
      <c r="C26" s="30" t="n"/>
      <c r="D26" s="30" t="n"/>
      <c r="E26" s="30" t="n"/>
      <c r="F26" s="30" t="n"/>
      <c r="G26" s="30" t="n"/>
      <c r="H26" s="29" t="n"/>
    </row>
    <row r="27" ht="30" customHeight="1">
      <c r="A27" s="20" t="inlineStr"/>
      <c r="B27" s="33" t="n"/>
      <c r="C27" s="33" t="n"/>
      <c r="D27" s="33" t="n"/>
      <c r="E27" s="33" t="n"/>
      <c r="F27" s="33" t="n"/>
      <c r="G27" s="33" t="n"/>
      <c r="H27" s="34" t="n"/>
    </row>
    <row r="28" ht="30" customHeight="1">
      <c r="A28" s="35" t="n"/>
      <c r="B28" s="36" t="n"/>
      <c r="C28" s="36" t="n"/>
      <c r="D28" s="36" t="n"/>
      <c r="E28" s="36" t="n"/>
      <c r="F28" s="36" t="n"/>
      <c r="G28" s="36" t="n"/>
      <c r="H28" s="37" t="n"/>
    </row>
    <row r="29">
      <c r="A29" s="28" t="inlineStr">
        <is>
          <t>評価者コメント（総評：良かった点をひとつ＋来期に期待することをひとつ、必ず書く）</t>
        </is>
      </c>
      <c r="B29" s="30" t="n"/>
      <c r="C29" s="30" t="n"/>
      <c r="D29" s="30" t="n"/>
      <c r="E29" s="30" t="n"/>
      <c r="F29" s="30" t="n"/>
      <c r="G29" s="30" t="n"/>
      <c r="H29" s="29" t="n"/>
    </row>
    <row r="30" ht="30" customHeight="1">
      <c r="A30" s="20" t="inlineStr"/>
      <c r="B30" s="33" t="n"/>
      <c r="C30" s="33" t="n"/>
      <c r="D30" s="33" t="n"/>
      <c r="E30" s="33" t="n"/>
      <c r="F30" s="33" t="n"/>
      <c r="G30" s="33" t="n"/>
      <c r="H30" s="34" t="n"/>
    </row>
    <row r="31" ht="30" customHeight="1">
      <c r="A31" s="35" t="n"/>
      <c r="B31" s="36" t="n"/>
      <c r="C31" s="36" t="n"/>
      <c r="D31" s="36" t="n"/>
      <c r="E31" s="36" t="n"/>
      <c r="F31" s="36" t="n"/>
      <c r="G31" s="36" t="n"/>
      <c r="H31" s="37" t="n"/>
    </row>
    <row r="32">
      <c r="C32" s="13" t="inlineStr">
        <is>
          <t>新等級</t>
        </is>
      </c>
      <c r="D32" s="14" t="inlineStr"/>
      <c r="E32" s="13" t="inlineStr">
        <is>
          <t>新号数</t>
        </is>
      </c>
      <c r="F32" s="14" t="inlineStr"/>
      <c r="G32" s="13" t="inlineStr">
        <is>
          <t>賞与</t>
        </is>
      </c>
      <c r="H32" s="14" t="inlineStr"/>
    </row>
  </sheetData>
  <mergeCells count="21">
    <mergeCell ref="G21:H21"/>
    <mergeCell ref="C24:D24"/>
    <mergeCell ref="F5:H5"/>
    <mergeCell ref="B3:C3"/>
    <mergeCell ref="A1:H1"/>
    <mergeCell ref="A6:H6"/>
    <mergeCell ref="A12:A15"/>
    <mergeCell ref="C22:D22"/>
    <mergeCell ref="A9:A11"/>
    <mergeCell ref="A26:H26"/>
    <mergeCell ref="B5:D5"/>
    <mergeCell ref="C21:D21"/>
    <mergeCell ref="G24:H24"/>
    <mergeCell ref="A30:H31"/>
    <mergeCell ref="C23:D23"/>
    <mergeCell ref="A29:H29"/>
    <mergeCell ref="A3"/>
    <mergeCell ref="A16:A18"/>
    <mergeCell ref="A20:H20"/>
    <mergeCell ref="B4:C4"/>
    <mergeCell ref="A27:H28"/>
  </mergeCells>
  <dataValidations count="1">
    <dataValidation sqref="E9:F18 F24" showDropDown="0" showInputMessage="0" showErrorMessage="1" allowBlank="1" errorTitle="入力エラー" error="S・A・B・C・Dのいずれかを選択してください" type="list">
      <formula1>"S,A,B,C,D"</formula1>
    </dataValidation>
  </dataValidations>
  <printOptions horizontalCentered="1"/>
  <pageMargins left="0.4" right="0.4" top="0.5" bottom="0.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" customWidth="1" min="2" max="2"/>
    <col width="17" customWidth="1" min="3" max="3"/>
    <col width="46" customWidth="1" min="4" max="4"/>
    <col width="9" customWidth="1" min="5" max="5"/>
    <col width="9" customWidth="1" min="6" max="6"/>
    <col width="34" customWidth="1" min="7" max="7"/>
    <col width="34" customWidth="1" min="8" max="8"/>
    <col hidden="1" width="5" customWidth="1" min="9" max="9"/>
    <col hidden="1" width="5" customWidth="1" min="10" max="10"/>
  </cols>
  <sheetData>
    <row r="1" ht="26" customHeight="1">
      <c r="A1" s="1" t="inlineStr">
        <is>
          <t>人事評価シート【SABCD評価版】　工場</t>
        </is>
      </c>
      <c r="B1" s="30" t="n"/>
      <c r="C1" s="30" t="n"/>
      <c r="D1" s="30" t="n"/>
      <c r="E1" s="30" t="n"/>
      <c r="F1" s="30" t="n"/>
      <c r="G1" s="30" t="n"/>
      <c r="H1" s="29" t="n"/>
    </row>
    <row r="3">
      <c r="A3" s="13" t="inlineStr">
        <is>
          <t>部門</t>
        </is>
      </c>
      <c r="B3" s="13" t="inlineStr">
        <is>
          <t>氏名</t>
        </is>
      </c>
      <c r="C3" s="29" t="n"/>
      <c r="D3" s="13" t="inlineStr">
        <is>
          <t>評価期間</t>
        </is>
      </c>
      <c r="E3" s="13" t="inlineStr">
        <is>
          <t>等級</t>
        </is>
      </c>
      <c r="F3" s="13" t="inlineStr">
        <is>
          <t>号数</t>
        </is>
      </c>
      <c r="G3" s="13" t="inlineStr">
        <is>
          <t>評価者</t>
        </is>
      </c>
      <c r="H3" s="13" t="inlineStr">
        <is>
          <t>評価日</t>
        </is>
      </c>
    </row>
    <row r="4" ht="24" customHeight="1">
      <c r="A4" s="14" t="inlineStr"/>
      <c r="B4" s="14" t="inlineStr"/>
      <c r="C4" s="29" t="n"/>
      <c r="D4" s="14" t="inlineStr"/>
      <c r="E4" s="14" t="inlineStr"/>
      <c r="F4" s="14" t="inlineStr"/>
      <c r="G4" s="14" t="inlineStr"/>
      <c r="H4" s="14" t="inlineStr"/>
    </row>
    <row r="5" ht="24" customHeight="1">
      <c r="A5" s="13" t="inlineStr">
        <is>
          <t>部署目標</t>
        </is>
      </c>
      <c r="B5" s="15" t="inlineStr"/>
      <c r="C5" s="30" t="n"/>
      <c r="D5" s="29" t="n"/>
      <c r="E5" s="13" t="inlineStr">
        <is>
          <t>個人目標</t>
        </is>
      </c>
      <c r="F5" s="15" t="inlineStr"/>
      <c r="G5" s="30" t="n"/>
      <c r="H5" s="29" t="n"/>
    </row>
    <row r="6" ht="30" customHeight="1">
      <c r="A6" s="16" t="inlineStr">
        <is>
          <t>使い方：各項目をS〜Dのプルダウンで選ぶ（A＝期待どおり＝標準の良い評価）。すべての項目に「根拠となる事実」を1行記入（「日々の記録」シートから転記でOK）。事実が書けない項目はB。基準は「評価基準の定義」シート参照。</t>
        </is>
      </c>
      <c r="B6" s="30" t="n"/>
      <c r="C6" s="30" t="n"/>
      <c r="D6" s="30" t="n"/>
      <c r="E6" s="30" t="n"/>
      <c r="F6" s="30" t="n"/>
      <c r="G6" s="30" t="n"/>
      <c r="H6" s="29" t="n"/>
    </row>
    <row r="8">
      <c r="A8" s="6" t="inlineStr">
        <is>
          <t>分類</t>
        </is>
      </c>
      <c r="B8" s="6" t="inlineStr">
        <is>
          <t>No</t>
        </is>
      </c>
      <c r="C8" s="6" t="inlineStr">
        <is>
          <t>評価項目</t>
        </is>
      </c>
      <c r="D8" s="6" t="inlineStr">
        <is>
          <t>着眼点（【A】＝期待水準の目安）</t>
        </is>
      </c>
      <c r="E8" s="6" t="inlineStr">
        <is>
          <t>自己評価</t>
        </is>
      </c>
      <c r="F8" s="6" t="inlineStr">
        <is>
          <t>上司評価</t>
        </is>
      </c>
      <c r="G8" s="6" t="inlineStr">
        <is>
          <t>根拠となる事実（本人）</t>
        </is>
      </c>
      <c r="H8" s="6" t="inlineStr">
        <is>
          <t>根拠となる事実（上司）</t>
        </is>
      </c>
    </row>
    <row r="9" ht="44" customHeight="1">
      <c r="A9" s="17" t="inlineStr">
        <is>
          <t>成果</t>
        </is>
      </c>
      <c r="B9" s="8" t="n">
        <v>1</v>
      </c>
      <c r="C9" s="18" t="inlineStr">
        <is>
          <t>業務目標達成度</t>
        </is>
      </c>
      <c r="D9" s="19" t="inlineStr">
        <is>
          <t>担当案件数・内製率の前年比。
【A＝前年並み（100％前後）を維持】【S＝明確な上積みの事実】</t>
        </is>
      </c>
      <c r="E9" s="14" t="inlineStr"/>
      <c r="F9" s="14" t="inlineStr"/>
      <c r="G9" s="20" t="inlineStr"/>
      <c r="H9" s="20" t="inlineStr"/>
      <c r="I9">
        <f>IF(E9="","",IF(E9="S",5,IF(E9="A",4,IF(E9="B",3,IF(E9="C",2,1)))))</f>
        <v/>
      </c>
      <c r="J9">
        <f>IF(F9="","",IF(F9="S",5,IF(F9="A",4,IF(F9="B",3,IF(F9="C",2,1)))))</f>
        <v/>
      </c>
    </row>
    <row r="10" ht="44" customHeight="1">
      <c r="A10" s="31" t="n"/>
      <c r="B10" s="8" t="n">
        <v>2</v>
      </c>
      <c r="C10" s="18" t="inlineStr">
        <is>
          <t>品質・ミス</t>
        </is>
      </c>
      <c r="D10" s="19" t="inlineStr">
        <is>
          <t>ミス・事故の発生件数。
【A＝重大事故ゼロ、軽微なミス1件以内】</t>
        </is>
      </c>
      <c r="E10" s="14" t="inlineStr"/>
      <c r="F10" s="14" t="inlineStr"/>
      <c r="G10" s="20" t="inlineStr"/>
      <c r="H10" s="20" t="inlineStr"/>
      <c r="I10">
        <f>IF(E10="","",IF(E10="S",5,IF(E10="A",4,IF(E10="B",3,IF(E10="C",2,1)))))</f>
        <v/>
      </c>
      <c r="J10">
        <f>IF(F10="","",IF(F10="S",5,IF(F10="A",4,IF(F10="B",3,IF(F10="C",2,1)))))</f>
        <v/>
      </c>
    </row>
    <row r="11" ht="44" customHeight="1">
      <c r="A11" s="32" t="n"/>
      <c r="B11" s="8" t="n">
        <v>3</v>
      </c>
      <c r="C11" s="18" t="inlineStr">
        <is>
          <t>課題目標達成度</t>
        </is>
      </c>
      <c r="D11" s="19" t="inlineStr">
        <is>
          <t>期初に設定した部署目標・個人目標の達成度。
【A＝おおむね達成（8割目安）】</t>
        </is>
      </c>
      <c r="E11" s="14" t="inlineStr"/>
      <c r="F11" s="14" t="inlineStr"/>
      <c r="G11" s="20" t="inlineStr"/>
      <c r="H11" s="20" t="inlineStr"/>
      <c r="I11">
        <f>IF(E11="","",IF(E11="S",5,IF(E11="A",4,IF(E11="B",3,IF(E11="C",2,1)))))</f>
        <v/>
      </c>
      <c r="J11">
        <f>IF(F11="","",IF(F11="S",5,IF(F11="A",4,IF(F11="B",3,IF(F11="C",2,1)))))</f>
        <v/>
      </c>
    </row>
    <row r="12" ht="44" customHeight="1">
      <c r="A12" s="21" t="inlineStr">
        <is>
          <t>能力</t>
        </is>
      </c>
      <c r="B12" s="8" t="n">
        <v>4</v>
      </c>
      <c r="C12" s="18" t="inlineStr">
        <is>
          <t>段取り・計画力</t>
        </is>
      </c>
      <c r="D12" s="19" t="inlineStr">
        <is>
          <t>納期から逆算した優先順位づけ、原価・効率を意識した段取りができたか。
【A＝自分の担当範囲の段取りを独力で回せている】</t>
        </is>
      </c>
      <c r="E12" s="14" t="inlineStr"/>
      <c r="F12" s="14" t="inlineStr"/>
      <c r="G12" s="20" t="inlineStr"/>
      <c r="H12" s="20" t="inlineStr"/>
      <c r="I12">
        <f>IF(E12="","",IF(E12="S",5,IF(E12="A",4,IF(E12="B",3,IF(E12="C",2,1)))))</f>
        <v/>
      </c>
      <c r="J12">
        <f>IF(F12="","",IF(F12="S",5,IF(F12="A",4,IF(F12="B",3,IF(F12="C",2,1)))))</f>
        <v/>
      </c>
    </row>
    <row r="13" ht="44" customHeight="1">
      <c r="A13" s="31" t="n"/>
      <c r="B13" s="8" t="n">
        <v>5</v>
      </c>
      <c r="C13" s="18" t="inlineStr">
        <is>
          <t>実行力・正確性</t>
        </is>
      </c>
      <c r="D13" s="19" t="inlineStr">
        <is>
          <t>通常業務と突発対応の完遂、仕事の正確さと速さ。
【A＝担当業務を期限内に正確に完遂できている】</t>
        </is>
      </c>
      <c r="E13" s="14" t="inlineStr"/>
      <c r="F13" s="14" t="inlineStr"/>
      <c r="G13" s="20" t="inlineStr"/>
      <c r="H13" s="20" t="inlineStr"/>
      <c r="I13">
        <f>IF(E13="","",IF(E13="S",5,IF(E13="A",4,IF(E13="B",3,IF(E13="C",2,1)))))</f>
        <v/>
      </c>
      <c r="J13">
        <f>IF(F13="","",IF(F13="S",5,IF(F13="A",4,IF(F13="B",3,IF(F13="C",2,1)))))</f>
        <v/>
      </c>
    </row>
    <row r="14" ht="44" customHeight="1">
      <c r="A14" s="31" t="n"/>
      <c r="B14" s="8" t="n">
        <v>6</v>
      </c>
      <c r="C14" s="18" t="inlineStr">
        <is>
          <t>改善力</t>
        </is>
      </c>
      <c r="D14" s="19" t="inlineStr">
        <is>
          <t>業務の効率化・コスト削減・仕組み化を自ら実行したか。
【A＝小さくても改善を実行した事実がある】</t>
        </is>
      </c>
      <c r="E14" s="14" t="inlineStr"/>
      <c r="F14" s="14" t="inlineStr"/>
      <c r="G14" s="20" t="inlineStr"/>
      <c r="H14" s="20" t="inlineStr"/>
      <c r="I14">
        <f>IF(E14="","",IF(E14="S",5,IF(E14="A",4,IF(E14="B",3,IF(E14="C",2,1)))))</f>
        <v/>
      </c>
      <c r="J14">
        <f>IF(F14="","",IF(F14="S",5,IF(F14="A",4,IF(F14="B",3,IF(F14="C",2,1)))))</f>
        <v/>
      </c>
    </row>
    <row r="15" ht="44" customHeight="1">
      <c r="A15" s="32" t="n"/>
      <c r="B15" s="8" t="n">
        <v>7</v>
      </c>
      <c r="C15" s="18" t="inlineStr">
        <is>
          <t>トラブル対応・報連相</t>
        </is>
      </c>
      <c r="D15" s="19" t="inlineStr">
        <is>
          <t>トラブル時に迅速に報連相し、再発防止策まで実行したか。
【A＝抱え込まず報告し、対処できている】</t>
        </is>
      </c>
      <c r="E15" s="14" t="inlineStr"/>
      <c r="F15" s="14" t="inlineStr"/>
      <c r="G15" s="20" t="inlineStr"/>
      <c r="H15" s="20" t="inlineStr"/>
      <c r="I15">
        <f>IF(E15="","",IF(E15="S",5,IF(E15="A",4,IF(E15="B",3,IF(E15="C",2,1)))))</f>
        <v/>
      </c>
      <c r="J15">
        <f>IF(F15="","",IF(F15="S",5,IF(F15="A",4,IF(F15="B",3,IF(F15="C",2,1)))))</f>
        <v/>
      </c>
    </row>
    <row r="16" ht="44" customHeight="1">
      <c r="A16" s="22" t="inlineStr">
        <is>
          <t>姿勢</t>
        </is>
      </c>
      <c r="B16" s="8" t="n">
        <v>8</v>
      </c>
      <c r="C16" s="18" t="inlineStr">
        <is>
          <t>責任性</t>
        </is>
      </c>
      <c r="D16" s="19" t="inlineStr">
        <is>
          <t>期日を守る。厳しいときは事前に相談・調整できたか。
【A＝期日遅れがなく、難しい場合も事前に相談している】</t>
        </is>
      </c>
      <c r="E16" s="14" t="inlineStr"/>
      <c r="F16" s="14" t="inlineStr"/>
      <c r="G16" s="20" t="inlineStr"/>
      <c r="H16" s="20" t="inlineStr"/>
      <c r="I16">
        <f>IF(E16="","",IF(E16="S",5,IF(E16="A",4,IF(E16="B",3,IF(E16="C",2,1)))))</f>
        <v/>
      </c>
      <c r="J16">
        <f>IF(F16="","",IF(F16="S",5,IF(F16="A",4,IF(F16="B",3,IF(F16="C",2,1)))))</f>
        <v/>
      </c>
    </row>
    <row r="17" ht="44" customHeight="1">
      <c r="A17" s="31" t="n"/>
      <c r="B17" s="8" t="n">
        <v>9</v>
      </c>
      <c r="C17" s="18" t="inlineStr">
        <is>
          <t>積極性・学習</t>
        </is>
      </c>
      <c r="D17" s="19" t="inlineStr">
        <is>
          <t>仕事の幅を広げる行動、知識・技術の習得をしたか。
【A＝業務に必要な学び・情報収集を続けている】</t>
        </is>
      </c>
      <c r="E17" s="14" t="inlineStr"/>
      <c r="F17" s="14" t="inlineStr"/>
      <c r="G17" s="20" t="inlineStr"/>
      <c r="H17" s="20" t="inlineStr"/>
      <c r="I17">
        <f>IF(E17="","",IF(E17="S",5,IF(E17="A",4,IF(E17="B",3,IF(E17="C",2,1)))))</f>
        <v/>
      </c>
      <c r="J17">
        <f>IF(F17="","",IF(F17="S",5,IF(F17="A",4,IF(F17="B",3,IF(F17="C",2,1)))))</f>
        <v/>
      </c>
    </row>
    <row r="18" ht="44" customHeight="1">
      <c r="A18" s="32" t="n"/>
      <c r="B18" s="8" t="n">
        <v>10</v>
      </c>
      <c r="C18" s="18" t="inlineStr">
        <is>
          <t>協調性・連携</t>
        </is>
      </c>
      <c r="D18" s="19" t="inlineStr">
        <is>
          <t>次工程・他部署への配慮、助け合い、情報共有ができたか。
【A＝周囲と円滑に連携し、必要な共有ができている】</t>
        </is>
      </c>
      <c r="E18" s="14" t="inlineStr"/>
      <c r="F18" s="14" t="inlineStr"/>
      <c r="G18" s="20" t="inlineStr"/>
      <c r="H18" s="20" t="inlineStr"/>
      <c r="I18">
        <f>IF(E18="","",IF(E18="S",5,IF(E18="A",4,IF(E18="B",3,IF(E18="C",2,1)))))</f>
        <v/>
      </c>
      <c r="J18">
        <f>IF(F18="","",IF(F18="S",5,IF(F18="A",4,IF(F18="B",3,IF(F18="C",2,1)))))</f>
        <v/>
      </c>
    </row>
    <row r="20">
      <c r="A20" s="23" t="inlineStr">
        <is>
          <t>総合評価</t>
        </is>
      </c>
      <c r="B20" s="30" t="n"/>
      <c r="C20" s="30" t="n"/>
      <c r="D20" s="30" t="n"/>
      <c r="E20" s="30" t="n"/>
      <c r="F20" s="30" t="n"/>
      <c r="G20" s="30" t="n"/>
      <c r="H20" s="29" t="n"/>
    </row>
    <row r="21">
      <c r="C21" s="13" t="inlineStr">
        <is>
          <t>区分</t>
        </is>
      </c>
      <c r="D21" s="29" t="n"/>
      <c r="E21" s="13" t="inlineStr">
        <is>
          <t>自己</t>
        </is>
      </c>
      <c r="F21" s="13" t="inlineStr">
        <is>
          <t>上司</t>
        </is>
      </c>
      <c r="G21" s="24" t="inlineStr">
        <is>
          <t>重み：成果50％・能力30％・姿勢20％（詳細は「評価基準の定義」）</t>
        </is>
      </c>
      <c r="H21" s="29" t="n"/>
    </row>
    <row r="22">
      <c r="C22" s="25" t="inlineStr">
        <is>
          <t>換算点（100点換算・自動）</t>
        </is>
      </c>
      <c r="D22" s="29" t="n"/>
      <c r="E22" s="8">
        <f>IFERROR(ROUND(AVERAGE(I9:I11)/5*50+AVERAGE(I12:I15)/5*30+AVERAGE(I16:I18)/5*20,1),"")</f>
        <v/>
      </c>
      <c r="F22" s="8">
        <f>IFERROR(ROUND(AVERAGE(J9:J11)/5*50+AVERAGE(J12:J15)/5*30+AVERAGE(J16:J18)/5*20,1),"")</f>
        <v/>
      </c>
    </row>
    <row r="23">
      <c r="C23" s="25" t="inlineStr">
        <is>
          <t>総合評価（自動・目安）</t>
        </is>
      </c>
      <c r="D23" s="29" t="n"/>
      <c r="E23" s="26">
        <f>IF(E22="","",IF(E22&gt;=90,"S",IF(E22&gt;=75,"A",IF(E22&gt;=50,"B",IF(E22&gt;=40,"C","D")))))</f>
        <v/>
      </c>
      <c r="F23" s="26">
        <f>IF(F22="","",IF(F22&gt;=90,"S",IF(F22&gt;=75,"A",IF(F22&gt;=50,"B",IF(F22&gt;=40,"C","D")))))</f>
        <v/>
      </c>
    </row>
    <row r="24" ht="30" customHeight="1">
      <c r="C24" s="25" t="inlineStr">
        <is>
          <t>最終総合評価（社長が決定）※自動の目安から変更する場合は右の欄に理由を記入</t>
        </is>
      </c>
      <c r="D24" s="29" t="n"/>
      <c r="E24" s="16" t="inlineStr"/>
      <c r="F24" s="27" t="inlineStr"/>
      <c r="G24" s="15" t="inlineStr"/>
      <c r="H24" s="29" t="n"/>
    </row>
    <row r="26">
      <c r="A26" s="28" t="inlineStr">
        <is>
          <t>本人コメント（今期の振り返り：「日々の記録」シートから転記でOK）</t>
        </is>
      </c>
      <c r="B26" s="30" t="n"/>
      <c r="C26" s="30" t="n"/>
      <c r="D26" s="30" t="n"/>
      <c r="E26" s="30" t="n"/>
      <c r="F26" s="30" t="n"/>
      <c r="G26" s="30" t="n"/>
      <c r="H26" s="29" t="n"/>
    </row>
    <row r="27" ht="30" customHeight="1">
      <c r="A27" s="20" t="inlineStr"/>
      <c r="B27" s="33" t="n"/>
      <c r="C27" s="33" t="n"/>
      <c r="D27" s="33" t="n"/>
      <c r="E27" s="33" t="n"/>
      <c r="F27" s="33" t="n"/>
      <c r="G27" s="33" t="n"/>
      <c r="H27" s="34" t="n"/>
    </row>
    <row r="28" ht="30" customHeight="1">
      <c r="A28" s="35" t="n"/>
      <c r="B28" s="36" t="n"/>
      <c r="C28" s="36" t="n"/>
      <c r="D28" s="36" t="n"/>
      <c r="E28" s="36" t="n"/>
      <c r="F28" s="36" t="n"/>
      <c r="G28" s="36" t="n"/>
      <c r="H28" s="37" t="n"/>
    </row>
    <row r="29">
      <c r="A29" s="28" t="inlineStr">
        <is>
          <t>評価者コメント（総評：良かった点をひとつ＋来期に期待することをひとつ、必ず書く）</t>
        </is>
      </c>
      <c r="B29" s="30" t="n"/>
      <c r="C29" s="30" t="n"/>
      <c r="D29" s="30" t="n"/>
      <c r="E29" s="30" t="n"/>
      <c r="F29" s="30" t="n"/>
      <c r="G29" s="30" t="n"/>
      <c r="H29" s="29" t="n"/>
    </row>
    <row r="30" ht="30" customHeight="1">
      <c r="A30" s="20" t="inlineStr"/>
      <c r="B30" s="33" t="n"/>
      <c r="C30" s="33" t="n"/>
      <c r="D30" s="33" t="n"/>
      <c r="E30" s="33" t="n"/>
      <c r="F30" s="33" t="n"/>
      <c r="G30" s="33" t="n"/>
      <c r="H30" s="34" t="n"/>
    </row>
    <row r="31" ht="30" customHeight="1">
      <c r="A31" s="35" t="n"/>
      <c r="B31" s="36" t="n"/>
      <c r="C31" s="36" t="n"/>
      <c r="D31" s="36" t="n"/>
      <c r="E31" s="36" t="n"/>
      <c r="F31" s="36" t="n"/>
      <c r="G31" s="36" t="n"/>
      <c r="H31" s="37" t="n"/>
    </row>
    <row r="32">
      <c r="C32" s="13" t="inlineStr">
        <is>
          <t>新等級</t>
        </is>
      </c>
      <c r="D32" s="14" t="inlineStr"/>
      <c r="E32" s="13" t="inlineStr">
        <is>
          <t>新号数</t>
        </is>
      </c>
      <c r="F32" s="14" t="inlineStr"/>
      <c r="G32" s="13" t="inlineStr">
        <is>
          <t>賞与</t>
        </is>
      </c>
      <c r="H32" s="14" t="inlineStr"/>
    </row>
  </sheetData>
  <mergeCells count="21">
    <mergeCell ref="G21:H21"/>
    <mergeCell ref="C24:D24"/>
    <mergeCell ref="F5:H5"/>
    <mergeCell ref="B3:C3"/>
    <mergeCell ref="A1:H1"/>
    <mergeCell ref="A6:H6"/>
    <mergeCell ref="A12:A15"/>
    <mergeCell ref="C22:D22"/>
    <mergeCell ref="A9:A11"/>
    <mergeCell ref="A26:H26"/>
    <mergeCell ref="B5:D5"/>
    <mergeCell ref="C21:D21"/>
    <mergeCell ref="G24:H24"/>
    <mergeCell ref="A30:H31"/>
    <mergeCell ref="C23:D23"/>
    <mergeCell ref="A29:H29"/>
    <mergeCell ref="A3"/>
    <mergeCell ref="A16:A18"/>
    <mergeCell ref="A20:H20"/>
    <mergeCell ref="B4:C4"/>
    <mergeCell ref="A27:H28"/>
  </mergeCells>
  <dataValidations count="1">
    <dataValidation sqref="E9:F18 F24" showDropDown="0" showInputMessage="0" showErrorMessage="1" allowBlank="1" errorTitle="入力エラー" error="S・A・B・C・Dのいずれかを選択してください" type="list">
      <formula1>"S,A,B,C,D"</formula1>
    </dataValidation>
  </dataValidations>
  <printOptions horizontalCentered="1"/>
  <pageMargins left="0.4" right="0.4" top="0.5" bottom="0.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40" customWidth="1" min="3" max="3"/>
    <col width="40" customWidth="1" min="4" max="4"/>
    <col width="40" customWidth="1" min="5" max="5"/>
  </cols>
  <sheetData>
    <row r="2" ht="26" customHeight="1">
      <c r="B2" s="1" t="inlineStr">
        <is>
          <t>日々の記録（月次ログ）　― 月末に5分、1行ずつでOK ―</t>
        </is>
      </c>
      <c r="C2" s="30" t="n"/>
      <c r="D2" s="30" t="n"/>
      <c r="E2" s="29" t="n"/>
    </row>
    <row r="3" ht="40" customHeight="1">
      <c r="B3" s="16" t="inlineStr">
        <is>
          <t>使い方：月末に「良かったこと・成果」「課題・反省」を1行ずつ書くだけ。上司も気づいたことがあれば一言。期末の評価シートの「根拠となる事実」「本人コメント」は、ここから転記すれば書けます（記憶に頼らない・直近だけで評価しないための仕組み）。</t>
        </is>
      </c>
      <c r="C3" s="30" t="n"/>
      <c r="D3" s="30" t="n"/>
      <c r="E3" s="29" t="n"/>
    </row>
    <row r="5">
      <c r="B5" s="6" t="inlineStr">
        <is>
          <t>月</t>
        </is>
      </c>
      <c r="C5" s="6" t="inlineStr">
        <is>
          <t>本人：良かったこと・成果</t>
        </is>
      </c>
      <c r="D5" s="6" t="inlineStr">
        <is>
          <t>本人：課題・反省</t>
        </is>
      </c>
      <c r="E5" s="6" t="inlineStr">
        <is>
          <t>上司：気づき・フィードバック</t>
        </is>
      </c>
    </row>
    <row r="6" ht="46" customHeight="1">
      <c r="B6" s="4" t="inlineStr">
        <is>
          <t>1ヶ月目</t>
        </is>
      </c>
      <c r="C6" s="15" t="inlineStr"/>
      <c r="D6" s="15" t="inlineStr"/>
      <c r="E6" s="15" t="inlineStr"/>
    </row>
    <row r="7" ht="46" customHeight="1">
      <c r="B7" s="4" t="inlineStr">
        <is>
          <t>2ヶ月目</t>
        </is>
      </c>
      <c r="C7" s="15" t="inlineStr"/>
      <c r="D7" s="15" t="inlineStr"/>
      <c r="E7" s="15" t="inlineStr"/>
    </row>
    <row r="8" ht="46" customHeight="1">
      <c r="B8" s="4" t="inlineStr">
        <is>
          <t>3ヶ月目</t>
        </is>
      </c>
      <c r="C8" s="15" t="inlineStr"/>
      <c r="D8" s="15" t="inlineStr"/>
      <c r="E8" s="15" t="inlineStr"/>
    </row>
    <row r="9" ht="46" customHeight="1">
      <c r="B9" s="4" t="inlineStr">
        <is>
          <t>4ヶ月目</t>
        </is>
      </c>
      <c r="C9" s="15" t="inlineStr"/>
      <c r="D9" s="15" t="inlineStr"/>
      <c r="E9" s="15" t="inlineStr"/>
    </row>
    <row r="10" ht="46" customHeight="1">
      <c r="B10" s="4" t="inlineStr">
        <is>
          <t>5ヶ月目</t>
        </is>
      </c>
      <c r="C10" s="15" t="inlineStr"/>
      <c r="D10" s="15" t="inlineStr"/>
      <c r="E10" s="15" t="inlineStr"/>
    </row>
    <row r="11" ht="46" customHeight="1">
      <c r="B11" s="4" t="inlineStr">
        <is>
          <t>6ヶ月目</t>
        </is>
      </c>
      <c r="C11" s="15" t="inlineStr"/>
      <c r="D11" s="15" t="inlineStr"/>
      <c r="E11" s="15" t="inlineStr"/>
    </row>
  </sheetData>
  <mergeCells count="2">
    <mergeCell ref="B3:E3"/>
    <mergeCell ref="B2:E2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2026-07-01T22:52:39Z</dcterms:created>
  <dcterms:modified xsi:type="dcterms:W3CDTF">2026-10-28T23:31:12Z</dcterms:modified>
</cp:coreProperties>
</file>